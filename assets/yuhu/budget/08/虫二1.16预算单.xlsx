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7" r:id="rId1"/>
  </sheets>
  <definedNames>
    <definedName name="_xlnm.Print_Area" localSheetId="0">Sheet1!$B$1:$J$24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<sst xmlns="http://schemas.openxmlformats.org/spreadsheetml/2006/main" count="58" uniqueCount="49">
  <si>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瓷砖预算单</t>
  </si>
  <si>
    <t>店面：虫二陶瓷艺术馆</t>
  </si>
  <si>
    <t>日期：2025.1.16</t>
  </si>
  <si>
    <t>客户：</t>
  </si>
  <si>
    <t>电话：</t>
  </si>
  <si>
    <t>地址：</t>
  </si>
  <si>
    <t>使用区域</t>
  </si>
  <si>
    <t>面积M²</t>
  </si>
  <si>
    <t>型号</t>
  </si>
  <si>
    <r>
      <rPr>
        <sz val="9"/>
        <color theme="2" tint="-0.899960325937681"/>
        <rFont val="宋体"/>
        <charset val="134"/>
      </rPr>
      <t>规格（M</t>
    </r>
    <r>
      <rPr>
        <sz val="9"/>
        <color indexed="59"/>
        <rFont val="宋体"/>
        <charset val="134"/>
      </rPr>
      <t>M)</t>
    </r>
  </si>
  <si>
    <t>数量
（片）</t>
  </si>
  <si>
    <t>单价
（元/片）</t>
  </si>
  <si>
    <t>金额
（元）</t>
  </si>
  <si>
    <t>备注</t>
  </si>
  <si>
    <t>一楼</t>
  </si>
  <si>
    <t>客餐厅+厨房地</t>
  </si>
  <si>
    <t>CEA-715079</t>
  </si>
  <si>
    <t>750*1500</t>
  </si>
  <si>
    <t>厨房墙</t>
  </si>
  <si>
    <t>客厅外阳台</t>
  </si>
  <si>
    <t>ACE-2012112</t>
  </si>
  <si>
    <t>200*1200</t>
  </si>
  <si>
    <t>公卫浴室柜单面</t>
  </si>
  <si>
    <t>DX3022037</t>
  </si>
  <si>
    <t>300*225</t>
  </si>
  <si>
    <t>公卫墙+地</t>
  </si>
  <si>
    <t>CEA-612287</t>
  </si>
  <si>
    <t>600*1200</t>
  </si>
  <si>
    <t>主卫墙+地</t>
  </si>
  <si>
    <t>生活阳台墙+地</t>
  </si>
  <si>
    <t>储物间</t>
  </si>
  <si>
    <t>厨柜部分用砖</t>
  </si>
  <si>
    <t>耐磨砖</t>
  </si>
  <si>
    <t>600*600</t>
  </si>
  <si>
    <t>特价</t>
  </si>
  <si>
    <t>合计</t>
  </si>
  <si>
    <t>用砖总面积</t>
  </si>
  <si>
    <t>正价小计：</t>
  </si>
  <si>
    <t>特价小计：</t>
  </si>
  <si>
    <t>加工费、运费、搬运费：</t>
  </si>
  <si>
    <t>总金额合计：</t>
  </si>
  <si>
    <t>总金额实收：</t>
  </si>
  <si>
    <t>付款方式：</t>
  </si>
  <si>
    <t>总金额：       元</t>
  </si>
  <si>
    <t>已付定金：    元</t>
  </si>
  <si>
    <t>余款:        元</t>
  </si>
  <si>
    <t>请认真阅读销售清单并核对无误后签字确认:</t>
  </si>
  <si>
    <t>尊敬的客户:特别感谢您的选择,感谢您对虫二陶瓷艺术馆的支持和信任,我们将热诚为您服务,如果有不满意的地方请您一定提出宝贵的意见, 我们一定努力完善。</t>
  </si>
  <si>
    <t>销售/设计人员：刘涛   13220275907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</si>
</sst>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0_ "/>
    <numFmt numFmtId="178" formatCode="0.00_ "/>
  </numFmts>
  <fonts count="35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6"/>
      <name val="宋体"/>
      <charset val="134"/>
    </font>
    <font>
      <sz val="12"/>
      <name val="宋体"/>
      <charset val="134"/>
    </font>
    <font>
      <b/>
      <sz val="11"/>
      <name val="宋体"/>
      <charset val="134"/>
    </font>
    <font>
      <b/>
      <sz val="14"/>
      <color rgb="FF333300"/>
      <name val="宋体"/>
      <charset val="134"/>
    </font>
    <font>
      <sz val="9"/>
      <color rgb="FF333300"/>
      <name val="宋体"/>
      <charset val="134"/>
    </font>
    <font>
      <sz val="9"/>
      <color theme="2" tint="-0.899960325937681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9"/>
      <color theme="2" tint="-0.899929807428205"/>
      <name val="宋体"/>
      <charset val="134"/>
    </font>
    <font>
      <sz val="9"/>
      <color theme="1"/>
      <name val="宋体"/>
      <charset val="134"/>
    </font>
    <font>
      <sz val="9"/>
      <color theme="2" tint="-0.899899288918729"/>
      <name val="宋体"/>
      <charset val="134"/>
    </font>
    <font>
      <sz val="9"/>
      <color rgb="FFFF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5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7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2" applyNumberFormat="1" applyFont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0" fillId="0" borderId="1" xfId="2" applyNumberFormat="1" applyFont="1" applyBorder="1" applyAlignment="1">
      <alignment horizontal="center" vertical="center"/>
    </xf>
    <xf numFmtId="0" fontId="10" fillId="0" borderId="1" xfId="2" applyNumberFormat="1" applyFont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0" fontId="10" fillId="0" borderId="1" xfId="2" applyNumberFormat="1" applyFont="1" applyBorder="1" applyAlignment="1">
      <alignment horizontal="center" vertical="center" wrapText="1"/>
    </xf>
    <xf numFmtId="0" fontId="10" fillId="0" borderId="1" xfId="2" applyNumberFormat="1" applyFont="1" applyBorder="1" applyAlignment="1">
      <alignment vertical="center" wrapText="1"/>
    </xf>
    <xf numFmtId="177" fontId="7" fillId="0" borderId="1" xfId="2" applyNumberFormat="1" applyFont="1" applyBorder="1" applyAlignment="1">
      <alignment horizontal="center" vertical="center"/>
    </xf>
    <xf numFmtId="177" fontId="7" fillId="2" borderId="1" xfId="2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12" fillId="0" borderId="1" xfId="2" applyNumberFormat="1" applyFont="1" applyBorder="1" applyAlignment="1">
      <alignment horizontal="left" vertical="center"/>
    </xf>
    <xf numFmtId="0" fontId="12" fillId="0" borderId="1" xfId="2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7" fillId="0" borderId="6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177" fontId="10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274320</xdr:colOff>
      <xdr:row>6</xdr:row>
      <xdr:rowOff>181610</xdr:rowOff>
    </xdr:from>
    <xdr:to>
      <xdr:col>9</xdr:col>
      <xdr:colOff>1011555</xdr:colOff>
      <xdr:row>6</xdr:row>
      <xdr:rowOff>305435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6842125" y="1856105"/>
          <a:ext cx="123825" cy="73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251460</xdr:colOff>
      <xdr:row>4</xdr:row>
      <xdr:rowOff>172720</xdr:rowOff>
    </xdr:from>
    <xdr:to>
      <xdr:col>9</xdr:col>
      <xdr:colOff>1011555</xdr:colOff>
      <xdr:row>5</xdr:row>
      <xdr:rowOff>226060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12560" y="1506220"/>
          <a:ext cx="76009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295910</xdr:colOff>
      <xdr:row>9</xdr:row>
      <xdr:rowOff>5080</xdr:rowOff>
    </xdr:from>
    <xdr:to>
      <xdr:col>9</xdr:col>
      <xdr:colOff>1056005</xdr:colOff>
      <xdr:row>9</xdr:row>
      <xdr:rowOff>388620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57010" y="3180080"/>
          <a:ext cx="76009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295910</xdr:colOff>
      <xdr:row>7</xdr:row>
      <xdr:rowOff>34290</xdr:rowOff>
    </xdr:from>
    <xdr:to>
      <xdr:col>9</xdr:col>
      <xdr:colOff>762635</xdr:colOff>
      <xdr:row>7</xdr:row>
      <xdr:rowOff>370205</xdr:rowOff>
    </xdr:to>
    <xdr:pic>
      <xdr:nvPicPr>
        <xdr:cNvPr id="7" name="图片 6" descr="834953d89569c46a51537f9f8fd1f81"/>
        <xdr:cNvPicPr>
          <a:picLocks noChangeAspect="1"/>
        </xdr:cNvPicPr>
      </xdr:nvPicPr>
      <xdr:blipFill>
        <a:blip r:embed="rId3"/>
        <a:srcRect t="8947" b="13744"/>
        <a:stretch>
          <a:fillRect/>
        </a:stretch>
      </xdr:blipFill>
      <xdr:spPr>
        <a:xfrm rot="5400000">
          <a:off x="6622415" y="2369185"/>
          <a:ext cx="33591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147" zoomScaleNormal="147" topLeftCell="A8" workbookViewId="0">
      <selection activeCell="N18" sqref="N18"/>
    </sheetView>
  </sheetViews>
  <sheetFormatPr defaultColWidth="9" defaultRowHeight="30" customHeight="1"/>
  <cols>
    <col min="1" max="1" width="4.79166666666667" style="1" customWidth="1"/>
    <col min="2" max="2" width="6.25" style="1" customWidth="1"/>
    <col min="3" max="3" width="14.45" style="1" customWidth="1"/>
    <col min="4" max="4" width="11.875" style="5" customWidth="1"/>
    <col min="5" max="5" width="10.7916666666667" style="5" customWidth="1"/>
    <col min="6" max="6" width="8.75833333333333" style="5" customWidth="1"/>
    <col min="7" max="7" width="7.25" style="6" customWidth="1"/>
    <col min="8" max="8" width="8.75" style="7" customWidth="1"/>
    <col min="9" max="9" width="9.25" style="7" customWidth="1"/>
    <col min="10" max="10" width="17.125" style="7" customWidth="1"/>
    <col min="11" max="11" width="20.625" style="1" customWidth="1"/>
    <col min="12" max="16384" width="9" style="1"/>
  </cols>
  <sheetData>
    <row r="1" s="1" customFormat="1" ht="25" customHeight="1" spans="2:10">
      <c r="B1" s="8" t="s">
        <v>0</v>
      </c>
      <c r="C1" s="9"/>
      <c r="D1" s="9"/>
      <c r="E1" s="9"/>
      <c r="F1" s="9"/>
      <c r="G1" s="9"/>
      <c r="H1" s="9"/>
      <c r="I1" s="9"/>
      <c r="J1" s="9"/>
    </row>
    <row r="2" s="2" customFormat="1" ht="25" customHeight="1" spans="2:10">
      <c r="B2" s="10" t="s">
        <v>1</v>
      </c>
      <c r="C2" s="10"/>
      <c r="D2" s="10"/>
      <c r="E2" s="11"/>
      <c r="F2" s="10"/>
      <c r="G2" s="10" t="s">
        <v>2</v>
      </c>
      <c r="H2" s="10"/>
      <c r="I2" s="10"/>
      <c r="J2" s="10"/>
    </row>
    <row r="3" s="2" customFormat="1" ht="25" customHeight="1" spans="2:10">
      <c r="B3" s="10" t="s">
        <v>3</v>
      </c>
      <c r="C3" s="10"/>
      <c r="D3" s="10" t="s">
        <v>4</v>
      </c>
      <c r="E3" s="11"/>
      <c r="F3" s="10"/>
      <c r="G3" s="10" t="s">
        <v>5</v>
      </c>
      <c r="H3" s="10"/>
      <c r="I3" s="10"/>
      <c r="J3" s="10"/>
    </row>
    <row r="4" s="1" customFormat="1" customHeight="1" spans="2:10">
      <c r="B4"/>
      <c r="C4" s="12" t="s">
        <v>6</v>
      </c>
      <c r="D4" s="11" t="s">
        <v>7</v>
      </c>
      <c r="E4" s="11" t="s">
        <v>8</v>
      </c>
      <c r="F4" s="13" t="s">
        <v>9</v>
      </c>
      <c r="G4" s="14" t="s">
        <v>10</v>
      </c>
      <c r="H4" s="15" t="s">
        <v>11</v>
      </c>
      <c r="I4" s="14" t="s">
        <v>12</v>
      </c>
      <c r="J4" s="12" t="s">
        <v>13</v>
      </c>
    </row>
    <row r="5" s="1" customFormat="1" ht="26" customHeight="1" spans="2:10">
      <c r="B5" s="16" t="s">
        <v>14</v>
      </c>
      <c r="C5" s="17" t="s">
        <v>15</v>
      </c>
      <c r="D5" s="18">
        <v>84</v>
      </c>
      <c r="E5" s="11" t="s">
        <v>16</v>
      </c>
      <c r="F5" s="13" t="s">
        <v>17</v>
      </c>
      <c r="G5" s="19">
        <v>76</v>
      </c>
      <c r="H5" s="15">
        <v>498</v>
      </c>
      <c r="I5" s="19">
        <f t="shared" ref="I5:I8" si="0">G5*H5</f>
        <v>37848</v>
      </c>
      <c r="J5" s="43"/>
    </row>
    <row r="6" s="1" customFormat="1" ht="25" customHeight="1" spans="2:10">
      <c r="B6" s="20"/>
      <c r="C6" s="17" t="s">
        <v>18</v>
      </c>
      <c r="D6" s="18">
        <v>12</v>
      </c>
      <c r="E6" s="11" t="s">
        <v>16</v>
      </c>
      <c r="F6" s="13" t="s">
        <v>17</v>
      </c>
      <c r="G6" s="19">
        <v>12</v>
      </c>
      <c r="H6" s="15">
        <v>498</v>
      </c>
      <c r="I6" s="19">
        <f t="shared" si="0"/>
        <v>5976</v>
      </c>
      <c r="J6" s="44"/>
    </row>
    <row r="7" s="1" customFormat="1" ht="33" customHeight="1" spans="2:10">
      <c r="B7" s="16" t="s">
        <v>14</v>
      </c>
      <c r="C7" s="17" t="s">
        <v>19</v>
      </c>
      <c r="D7" s="18">
        <v>8.3</v>
      </c>
      <c r="E7" s="11" t="s">
        <v>20</v>
      </c>
      <c r="F7" s="13" t="s">
        <v>21</v>
      </c>
      <c r="G7" s="19">
        <v>35</v>
      </c>
      <c r="H7" s="15">
        <v>98</v>
      </c>
      <c r="I7" s="19">
        <f t="shared" si="0"/>
        <v>3430</v>
      </c>
      <c r="J7" s="45"/>
    </row>
    <row r="8" s="1" customFormat="1" ht="31" customHeight="1" spans="2:12">
      <c r="B8" s="20"/>
      <c r="C8" s="17" t="s">
        <v>22</v>
      </c>
      <c r="D8" s="18">
        <v>3</v>
      </c>
      <c r="E8" s="11" t="s">
        <v>23</v>
      </c>
      <c r="F8" s="13" t="s">
        <v>24</v>
      </c>
      <c r="G8" s="19">
        <v>46</v>
      </c>
      <c r="H8" s="15">
        <v>29</v>
      </c>
      <c r="I8" s="19">
        <f t="shared" si="0"/>
        <v>1334</v>
      </c>
      <c r="J8" s="45"/>
      <c r="L8"/>
    </row>
    <row r="9" s="1" customFormat="1" customHeight="1" spans="2:13">
      <c r="B9" s="20"/>
      <c r="C9" s="17" t="s">
        <v>25</v>
      </c>
      <c r="D9" s="18">
        <v>25</v>
      </c>
      <c r="E9" s="11" t="s">
        <v>26</v>
      </c>
      <c r="F9" s="13" t="s">
        <v>27</v>
      </c>
      <c r="G9" s="19">
        <v>36</v>
      </c>
      <c r="H9" s="15">
        <v>268</v>
      </c>
      <c r="I9" s="19">
        <f>G9*H9</f>
        <v>9648</v>
      </c>
      <c r="J9" s="46"/>
      <c r="M9"/>
    </row>
    <row r="10" s="1" customFormat="1" ht="34" customHeight="1" spans="2:10">
      <c r="B10" s="20"/>
      <c r="C10" s="17" t="s">
        <v>28</v>
      </c>
      <c r="D10" s="18">
        <v>31</v>
      </c>
      <c r="E10" s="11" t="s">
        <v>26</v>
      </c>
      <c r="F10" s="13" t="s">
        <v>27</v>
      </c>
      <c r="G10" s="19">
        <v>44</v>
      </c>
      <c r="H10" s="15">
        <v>268</v>
      </c>
      <c r="I10" s="19">
        <f>G10*H10</f>
        <v>11792</v>
      </c>
      <c r="J10" s="47"/>
    </row>
    <row r="11" s="1" customFormat="1" ht="20" customHeight="1" spans="2:10">
      <c r="B11" s="20"/>
      <c r="C11" s="17" t="s">
        <v>29</v>
      </c>
      <c r="D11" s="18">
        <v>26</v>
      </c>
      <c r="E11" s="11" t="s">
        <v>26</v>
      </c>
      <c r="F11" s="13" t="s">
        <v>27</v>
      </c>
      <c r="G11" s="19">
        <v>36</v>
      </c>
      <c r="H11" s="15">
        <v>268</v>
      </c>
      <c r="I11" s="19">
        <f>G11*H11</f>
        <v>9648</v>
      </c>
      <c r="J11" s="47"/>
    </row>
    <row r="12" s="1" customFormat="1" ht="20" customHeight="1" spans="2:10">
      <c r="B12" s="20"/>
      <c r="C12" s="17" t="s">
        <v>30</v>
      </c>
      <c r="D12" s="18">
        <v>2.5</v>
      </c>
      <c r="E12" s="11" t="s">
        <v>26</v>
      </c>
      <c r="F12" s="13" t="s">
        <v>27</v>
      </c>
      <c r="G12" s="19">
        <v>4</v>
      </c>
      <c r="H12" s="15">
        <v>268</v>
      </c>
      <c r="I12" s="19">
        <f>G12*H12</f>
        <v>1072</v>
      </c>
      <c r="J12" s="48"/>
    </row>
    <row r="13" s="1" customFormat="1" ht="20" customHeight="1" spans="2:10">
      <c r="B13" s="21"/>
      <c r="C13" s="17" t="s">
        <v>31</v>
      </c>
      <c r="D13" s="18">
        <v>16</v>
      </c>
      <c r="E13" s="18" t="s">
        <v>32</v>
      </c>
      <c r="F13" s="18" t="s">
        <v>33</v>
      </c>
      <c r="G13" s="22">
        <v>32</v>
      </c>
      <c r="H13" s="18">
        <v>5</v>
      </c>
      <c r="I13" s="19">
        <f>G13*H13</f>
        <v>160</v>
      </c>
      <c r="J13" s="49" t="s">
        <v>34</v>
      </c>
    </row>
    <row r="14" s="1" customFormat="1" ht="20" customHeight="1" spans="2:11">
      <c r="B14" s="23" t="s">
        <v>35</v>
      </c>
      <c r="C14" s="24"/>
      <c r="D14" s="24"/>
      <c r="E14" s="24"/>
      <c r="F14" s="24"/>
      <c r="G14" s="24"/>
      <c r="H14" s="25"/>
      <c r="I14" s="28">
        <f>SUM(I5:I13)</f>
        <v>80908</v>
      </c>
      <c r="J14" s="17"/>
      <c r="K14" s="50"/>
    </row>
    <row r="15" s="1" customFormat="1" ht="20" customHeight="1" spans="2:11">
      <c r="B15" s="17"/>
      <c r="C15" s="17" t="s">
        <v>36</v>
      </c>
      <c r="D15" s="18">
        <f>D5+D6+D7+D9+D10+D11+D12+D13+D8</f>
        <v>207.8</v>
      </c>
      <c r="E15" s="18"/>
      <c r="F15" s="18"/>
      <c r="G15" s="18"/>
      <c r="H15" s="18"/>
      <c r="I15" s="18"/>
      <c r="J15" s="51"/>
      <c r="K15" s="50"/>
    </row>
    <row r="16" s="1" customFormat="1" ht="20" customHeight="1" spans="2:11">
      <c r="B16" s="21"/>
      <c r="C16" s="21"/>
      <c r="D16" s="21"/>
      <c r="E16" s="26" t="s">
        <v>37</v>
      </c>
      <c r="F16" s="27"/>
      <c r="G16" s="28">
        <f>I14-G17</f>
        <v>80748</v>
      </c>
      <c r="H16" s="28"/>
      <c r="I16" s="52"/>
      <c r="J16" s="53"/>
      <c r="K16" s="50"/>
    </row>
    <row r="17" s="1" customFormat="1" ht="20" customHeight="1" spans="2:11">
      <c r="B17" s="21"/>
      <c r="C17" s="21"/>
      <c r="D17" s="21"/>
      <c r="E17" s="26" t="s">
        <v>38</v>
      </c>
      <c r="F17" s="27"/>
      <c r="G17" s="29">
        <f>I13</f>
        <v>160</v>
      </c>
      <c r="H17" s="29"/>
      <c r="I17" s="52"/>
      <c r="J17" s="53"/>
      <c r="K17" s="50"/>
    </row>
    <row r="18" s="1" customFormat="1" ht="20" customHeight="1" spans="2:11">
      <c r="B18" s="21"/>
      <c r="C18" s="21"/>
      <c r="D18" s="21"/>
      <c r="E18" s="30" t="s">
        <v>39</v>
      </c>
      <c r="F18" s="31"/>
      <c r="G18" s="32">
        <v>2680</v>
      </c>
      <c r="H18" s="33"/>
      <c r="I18" s="52"/>
      <c r="J18" s="53"/>
      <c r="K18" s="50"/>
    </row>
    <row r="19" s="1" customFormat="1" ht="20" customHeight="1" spans="2:11">
      <c r="B19" s="21"/>
      <c r="C19" s="21"/>
      <c r="D19" s="21"/>
      <c r="E19" s="26" t="s">
        <v>40</v>
      </c>
      <c r="F19" s="27"/>
      <c r="G19" s="32">
        <f>G16+G17+G18</f>
        <v>83588</v>
      </c>
      <c r="H19" s="33"/>
      <c r="I19" s="54"/>
      <c r="J19" s="55"/>
      <c r="K19" s="50"/>
    </row>
    <row r="20" s="1" customFormat="1" ht="20" customHeight="1" spans="2:11">
      <c r="B20" s="21"/>
      <c r="C20" s="21"/>
      <c r="D20" s="21"/>
      <c r="E20" s="26" t="s">
        <v>41</v>
      </c>
      <c r="F20" s="27"/>
      <c r="G20" s="32"/>
      <c r="H20" s="33"/>
      <c r="I20" s="54"/>
      <c r="J20" s="55"/>
      <c r="K20" s="50"/>
    </row>
    <row r="21" s="1" customFormat="1" ht="20" customHeight="1" spans="2:11">
      <c r="B21" s="34" t="s">
        <v>42</v>
      </c>
      <c r="C21" s="34"/>
      <c r="D21" s="35" t="s">
        <v>43</v>
      </c>
      <c r="E21" s="36"/>
      <c r="F21" s="37" t="s">
        <v>44</v>
      </c>
      <c r="G21" s="37"/>
      <c r="H21" s="38"/>
      <c r="I21" s="56" t="s">
        <v>45</v>
      </c>
      <c r="J21" s="56"/>
      <c r="K21" s="50"/>
    </row>
    <row r="22" s="3" customFormat="1" ht="20" customHeight="1" spans="2:11">
      <c r="B22" s="39" t="s">
        <v>46</v>
      </c>
      <c r="C22" s="39"/>
      <c r="D22" s="39"/>
      <c r="E22" s="39"/>
      <c r="F22" s="39"/>
      <c r="G22" s="39"/>
      <c r="H22" s="39"/>
      <c r="I22" s="39"/>
      <c r="J22" s="39"/>
      <c r="K22" s="50"/>
    </row>
    <row r="23" s="4" customFormat="1" ht="27" customHeight="1" spans="1:11">
      <c r="A23" s="40"/>
      <c r="B23" s="41" t="s">
        <v>47</v>
      </c>
      <c r="C23" s="41"/>
      <c r="D23" s="41"/>
      <c r="E23" s="42"/>
      <c r="F23" s="41"/>
      <c r="G23" s="41"/>
      <c r="H23" s="41"/>
      <c r="I23" s="41"/>
      <c r="J23" s="41"/>
      <c r="K23" s="50"/>
    </row>
    <row r="24" s="4" customFormat="1" ht="20" customHeight="1" spans="1:11">
      <c r="A24" s="40"/>
      <c r="B24" s="34" t="s">
        <v>48</v>
      </c>
      <c r="C24" s="34"/>
      <c r="D24" s="34"/>
      <c r="E24" s="17"/>
      <c r="F24" s="34"/>
      <c r="G24" s="34"/>
      <c r="H24" s="34"/>
      <c r="I24" s="34"/>
      <c r="J24" s="34"/>
      <c r="K24" s="50"/>
    </row>
  </sheetData>
  <mergeCells count="38">
    <mergeCell ref="B1:J1"/>
    <mergeCell ref="B2:F2"/>
    <mergeCell ref="G2:J2"/>
    <mergeCell ref="B3:C3"/>
    <mergeCell ref="D3:F3"/>
    <mergeCell ref="G3:J3"/>
    <mergeCell ref="B14:H14"/>
    <mergeCell ref="D15:I15"/>
    <mergeCell ref="B16:D16"/>
    <mergeCell ref="E16:F16"/>
    <mergeCell ref="G16:H16"/>
    <mergeCell ref="I16:J16"/>
    <mergeCell ref="B17:D17"/>
    <mergeCell ref="E17:F17"/>
    <mergeCell ref="G17:H17"/>
    <mergeCell ref="I17:J17"/>
    <mergeCell ref="B18:D18"/>
    <mergeCell ref="E18:F18"/>
    <mergeCell ref="G18:H18"/>
    <mergeCell ref="I18:J18"/>
    <mergeCell ref="B19:D19"/>
    <mergeCell ref="E19:F19"/>
    <mergeCell ref="G19:H19"/>
    <mergeCell ref="I19:J19"/>
    <mergeCell ref="B20:D20"/>
    <mergeCell ref="E20:F20"/>
    <mergeCell ref="G20:H20"/>
    <mergeCell ref="I20:J20"/>
    <mergeCell ref="B21:C21"/>
    <mergeCell ref="D21:E21"/>
    <mergeCell ref="F21:H21"/>
    <mergeCell ref="I21:J21"/>
    <mergeCell ref="B22:J22"/>
    <mergeCell ref="B23:J23"/>
    <mergeCell ref="B24:J24"/>
    <mergeCell ref="B5:B10"/>
    <mergeCell ref="J5:J6"/>
    <mergeCell ref="J9:J12"/>
  </mergeCells>
  <pageMargins left="0.118055555555556" right="0.118055555555556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虫二陶瓷艺术馆  何帅</cp:lastModifiedBy>
  <dcterms:created xsi:type="dcterms:W3CDTF">2024-08-02T11:29:00Z</dcterms:created>
  <dcterms:modified xsi:type="dcterms:W3CDTF">2025-01-16T08:53:36Z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39F4D4D68043439DA5FAC6082BD56224_13</vt:lpwstr>
  </property>
  <property fmtid="{D5CDD505-2E9C-101B-9397-08002B2CF9AE}" pid="3" name="KSOProductBuildVer">
    <vt:lpwstr>2052-12.1.0.19770</vt:lpwstr>
  </property>
</Properties>
</file>