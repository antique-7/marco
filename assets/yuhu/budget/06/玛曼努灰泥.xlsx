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赵营\Desktop\昱湖壹号崒峰 （徐老师）\昱湖壹号全案预算\全案预算\06.窗帘.硬包.艺术涂料（2025.01.15）\"/>
    </mc:Choice>
  </mc:AlternateContent>
  <xr:revisionPtr revIDLastSave="0" documentId="13_ncr:1_{5393134D-A3A0-4803-8A46-55364516E7FB}" xr6:coauthVersionLast="47" xr6:coauthVersionMax="47" xr10:uidLastSave="{00000000-0000-0000-0000-000000000000}"/>
  <bookViews>
    <workbookView xWindow="1790" yWindow="1400" windowWidth="18050" windowHeight="12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6" i="1"/>
  <c r="F7" i="1"/>
  <c r="F8" i="1"/>
  <c r="F9" i="1"/>
  <c r="F10" i="1"/>
  <c r="F11" i="1"/>
  <c r="F12" i="1"/>
  <c r="F13" i="1"/>
  <c r="F14" i="1"/>
  <c r="F15" i="1"/>
  <c r="F6" i="1"/>
  <c r="C16" i="1"/>
  <c r="F16" i="1" l="1"/>
  <c r="G16" i="1"/>
</calcChain>
</file>

<file path=xl/sharedStrings.xml><?xml version="1.0" encoding="utf-8"?>
<sst xmlns="http://schemas.openxmlformats.org/spreadsheetml/2006/main" count="43" uniqueCount="25">
  <si>
    <t>施工位置</t>
  </si>
  <si>
    <t>饰面材质</t>
  </si>
  <si>
    <t>面积</t>
  </si>
  <si>
    <t>产地、品牌及系列</t>
  </si>
  <si>
    <t>原单价/元</t>
  </si>
  <si>
    <t>原总价</t>
    <phoneticPr fontId="5" type="noConversion"/>
  </si>
  <si>
    <t>原价合计</t>
    <phoneticPr fontId="5" type="noConversion"/>
  </si>
  <si>
    <t>合计</t>
    <phoneticPr fontId="5" type="noConversion"/>
  </si>
  <si>
    <t>英尼斯特</t>
    <phoneticPr fontId="5" type="noConversion"/>
  </si>
  <si>
    <t>主卧室顶面</t>
    <phoneticPr fontId="5" type="noConversion"/>
  </si>
  <si>
    <t>结算价/元</t>
    <phoneticPr fontId="5" type="noConversion"/>
  </si>
  <si>
    <t>结算总价</t>
    <phoneticPr fontId="5" type="noConversion"/>
  </si>
  <si>
    <t>公区顶面</t>
    <phoneticPr fontId="5" type="noConversion"/>
  </si>
  <si>
    <t>公区墙面</t>
    <phoneticPr fontId="5" type="noConversion"/>
  </si>
  <si>
    <t>主卧室墙面</t>
    <phoneticPr fontId="5" type="noConversion"/>
  </si>
  <si>
    <t>结算价合计</t>
    <phoneticPr fontId="5" type="noConversion"/>
  </si>
  <si>
    <t>项目地址：</t>
    <phoneticPr fontId="5" type="noConversion"/>
  </si>
  <si>
    <t>儿童房顶面</t>
    <phoneticPr fontId="5" type="noConversion"/>
  </si>
  <si>
    <t>儿童房墙面</t>
    <phoneticPr fontId="5" type="noConversion"/>
  </si>
  <si>
    <t>次卧室1顶面</t>
    <phoneticPr fontId="5" type="noConversion"/>
  </si>
  <si>
    <t>次卧室1墙面</t>
    <phoneticPr fontId="5" type="noConversion"/>
  </si>
  <si>
    <t>书房顶面</t>
    <phoneticPr fontId="5" type="noConversion"/>
  </si>
  <si>
    <t>书房墙面</t>
    <phoneticPr fontId="5" type="noConversion"/>
  </si>
  <si>
    <t>玛曼努艺术漆</t>
    <phoneticPr fontId="5" type="noConversion"/>
  </si>
  <si>
    <t>美涂涂装--预算表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</si>
</sst>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8"/>
      <color theme="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4" fillId="0" borderId="4" xfId="0" applyFont="1" applyBorder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="120" zoomScaleNormal="120" workbookViewId="0">
      <selection activeCell="A2" sqref="A2:H2"/>
    </sheetView>
  </sheetViews>
  <sheetFormatPr defaultColWidth="9" defaultRowHeight="14" x14ac:dyDescent="0.3"/>
  <cols>
    <col min="1" max="1" width="15" customWidth="1"/>
    <col min="2" max="2" width="16.6640625" customWidth="1"/>
    <col min="3" max="4" width="11.33203125" customWidth="1"/>
    <col min="5" max="6" width="10" customWidth="1"/>
    <col min="7" max="7" width="11.6640625" customWidth="1"/>
    <col min="8" max="8" width="34" customWidth="1"/>
  </cols>
  <sheetData>
    <row r="1" spans="1:13" ht="63" customHeight="1" x14ac:dyDescent="0.3">
      <c r="A1" s="24" t="s">
        <v>24</v>
      </c>
      <c r="B1" s="24"/>
      <c r="C1" s="24"/>
      <c r="D1" s="24"/>
      <c r="E1" s="24"/>
      <c r="F1" s="24"/>
      <c r="G1" s="24"/>
      <c r="H1" s="24"/>
    </row>
    <row r="2" spans="1:13" ht="30" customHeight="1" x14ac:dyDescent="0.3">
      <c r="A2" s="26"/>
      <c r="B2" s="26"/>
      <c r="C2" s="26"/>
      <c r="D2" s="26"/>
      <c r="E2" s="26"/>
      <c r="F2" s="26"/>
      <c r="G2" s="26"/>
      <c r="H2" s="26"/>
    </row>
    <row r="3" spans="1:13" ht="30.9" customHeight="1" x14ac:dyDescent="0.3">
      <c r="A3" s="25"/>
      <c r="B3" s="26"/>
      <c r="C3" s="26"/>
      <c r="D3" s="26"/>
      <c r="E3" s="26"/>
      <c r="F3" s="26"/>
      <c r="G3" s="26"/>
      <c r="H3" s="26"/>
    </row>
    <row r="4" spans="1:13" ht="30.9" customHeight="1" x14ac:dyDescent="0.3">
      <c r="A4" s="27" t="s">
        <v>16</v>
      </c>
      <c r="B4" s="27"/>
      <c r="C4" s="27"/>
      <c r="D4" s="27"/>
      <c r="E4" s="27"/>
      <c r="F4" s="27"/>
      <c r="G4" s="27"/>
      <c r="H4" s="27"/>
    </row>
    <row r="5" spans="1:13" ht="30" customHeight="1" x14ac:dyDescent="0.3">
      <c r="A5" s="2" t="s">
        <v>0</v>
      </c>
      <c r="B5" s="2" t="s">
        <v>1</v>
      </c>
      <c r="C5" s="2" t="s">
        <v>2</v>
      </c>
      <c r="D5" s="2" t="s">
        <v>4</v>
      </c>
      <c r="E5" s="2" t="s">
        <v>10</v>
      </c>
      <c r="F5" s="2" t="s">
        <v>5</v>
      </c>
      <c r="G5" s="2" t="s">
        <v>11</v>
      </c>
      <c r="H5" s="3" t="s">
        <v>3</v>
      </c>
      <c r="I5" s="4"/>
    </row>
    <row r="6" spans="1:13" ht="30" customHeight="1" x14ac:dyDescent="0.3">
      <c r="A6" s="2" t="s">
        <v>9</v>
      </c>
      <c r="B6" s="2" t="s">
        <v>23</v>
      </c>
      <c r="C6" s="2">
        <v>30.95</v>
      </c>
      <c r="D6" s="2">
        <v>278</v>
      </c>
      <c r="E6" s="2">
        <v>128</v>
      </c>
      <c r="F6" s="2">
        <f>D6*C6</f>
        <v>8604.1</v>
      </c>
      <c r="G6" s="2">
        <f>E6*C6</f>
        <v>3961.6</v>
      </c>
      <c r="H6" s="13" t="s">
        <v>8</v>
      </c>
    </row>
    <row r="7" spans="1:13" ht="30" customHeight="1" x14ac:dyDescent="0.3">
      <c r="A7" s="8" t="s">
        <v>14</v>
      </c>
      <c r="B7" s="2" t="s">
        <v>23</v>
      </c>
      <c r="C7" s="5">
        <v>31.33</v>
      </c>
      <c r="D7" s="2">
        <v>278</v>
      </c>
      <c r="E7" s="2">
        <v>128</v>
      </c>
      <c r="F7" s="2">
        <f t="shared" ref="F7:F15" si="0">D7*C7</f>
        <v>8709.74</v>
      </c>
      <c r="G7" s="2">
        <f t="shared" ref="G7:G15" si="1">E7*C7</f>
        <v>4010.24</v>
      </c>
      <c r="H7" s="13" t="s">
        <v>8</v>
      </c>
      <c r="M7" s="6"/>
    </row>
    <row r="8" spans="1:13" ht="30" customHeight="1" x14ac:dyDescent="0.3">
      <c r="A8" s="8" t="s">
        <v>17</v>
      </c>
      <c r="B8" s="2" t="s">
        <v>23</v>
      </c>
      <c r="C8" s="5">
        <v>17.23</v>
      </c>
      <c r="D8" s="2">
        <v>278</v>
      </c>
      <c r="E8" s="2">
        <v>128</v>
      </c>
      <c r="F8" s="2">
        <f t="shared" si="0"/>
        <v>4789.9400000000005</v>
      </c>
      <c r="G8" s="2">
        <f t="shared" si="1"/>
        <v>2205.44</v>
      </c>
      <c r="H8" s="13" t="s">
        <v>8</v>
      </c>
      <c r="M8" s="6"/>
    </row>
    <row r="9" spans="1:13" ht="30" customHeight="1" x14ac:dyDescent="0.3">
      <c r="A9" s="8" t="s">
        <v>18</v>
      </c>
      <c r="B9" s="2" t="s">
        <v>23</v>
      </c>
      <c r="C9" s="5">
        <v>26.5</v>
      </c>
      <c r="D9" s="2">
        <v>278</v>
      </c>
      <c r="E9" s="2">
        <v>128</v>
      </c>
      <c r="F9" s="2">
        <f t="shared" si="0"/>
        <v>7367</v>
      </c>
      <c r="G9" s="2">
        <f t="shared" si="1"/>
        <v>3392</v>
      </c>
      <c r="H9" s="13" t="s">
        <v>8</v>
      </c>
      <c r="M9" s="6"/>
    </row>
    <row r="10" spans="1:13" ht="30" customHeight="1" x14ac:dyDescent="0.3">
      <c r="A10" s="8" t="s">
        <v>19</v>
      </c>
      <c r="B10" s="2" t="s">
        <v>23</v>
      </c>
      <c r="C10" s="5">
        <v>16.55</v>
      </c>
      <c r="D10" s="2">
        <v>278</v>
      </c>
      <c r="E10" s="2">
        <v>128</v>
      </c>
      <c r="F10" s="2">
        <f t="shared" si="0"/>
        <v>4600.9000000000005</v>
      </c>
      <c r="G10" s="2">
        <f t="shared" si="1"/>
        <v>2118.4</v>
      </c>
      <c r="H10" s="13" t="s">
        <v>8</v>
      </c>
      <c r="M10" s="6"/>
    </row>
    <row r="11" spans="1:13" ht="30" customHeight="1" x14ac:dyDescent="0.3">
      <c r="A11" s="8" t="s">
        <v>20</v>
      </c>
      <c r="B11" s="2" t="s">
        <v>23</v>
      </c>
      <c r="C11" s="5">
        <v>27.12</v>
      </c>
      <c r="D11" s="2">
        <v>278</v>
      </c>
      <c r="E11" s="2">
        <v>128</v>
      </c>
      <c r="F11" s="2">
        <f t="shared" si="0"/>
        <v>7539.3600000000006</v>
      </c>
      <c r="G11" s="2">
        <f t="shared" si="1"/>
        <v>3471.36</v>
      </c>
      <c r="H11" s="13" t="s">
        <v>8</v>
      </c>
      <c r="M11" s="6"/>
    </row>
    <row r="12" spans="1:13" ht="30" customHeight="1" x14ac:dyDescent="0.3">
      <c r="A12" s="8" t="s">
        <v>21</v>
      </c>
      <c r="B12" s="2" t="s">
        <v>23</v>
      </c>
      <c r="C12" s="5">
        <v>15.85</v>
      </c>
      <c r="D12" s="2">
        <v>278</v>
      </c>
      <c r="E12" s="2">
        <v>128</v>
      </c>
      <c r="F12" s="2">
        <f t="shared" si="0"/>
        <v>4406.3</v>
      </c>
      <c r="G12" s="2">
        <f t="shared" si="1"/>
        <v>2028.8</v>
      </c>
      <c r="H12" s="13" t="s">
        <v>8</v>
      </c>
      <c r="M12" s="6"/>
    </row>
    <row r="13" spans="1:13" ht="30" customHeight="1" x14ac:dyDescent="0.3">
      <c r="A13" s="8" t="s">
        <v>22</v>
      </c>
      <c r="B13" s="2" t="s">
        <v>23</v>
      </c>
      <c r="C13" s="5">
        <v>13.78</v>
      </c>
      <c r="D13" s="2">
        <v>278</v>
      </c>
      <c r="E13" s="2">
        <v>128</v>
      </c>
      <c r="F13" s="2">
        <f t="shared" si="0"/>
        <v>3830.8399999999997</v>
      </c>
      <c r="G13" s="2">
        <f t="shared" si="1"/>
        <v>1763.84</v>
      </c>
      <c r="H13" s="13" t="s">
        <v>8</v>
      </c>
      <c r="M13" s="6"/>
    </row>
    <row r="14" spans="1:13" ht="30" customHeight="1" x14ac:dyDescent="0.3">
      <c r="A14" s="8" t="s">
        <v>12</v>
      </c>
      <c r="B14" s="2" t="s">
        <v>23</v>
      </c>
      <c r="C14" s="5">
        <v>96.5</v>
      </c>
      <c r="D14" s="2">
        <v>278</v>
      </c>
      <c r="E14" s="2">
        <v>128</v>
      </c>
      <c r="F14" s="2">
        <f t="shared" si="0"/>
        <v>26827</v>
      </c>
      <c r="G14" s="2">
        <f t="shared" si="1"/>
        <v>12352</v>
      </c>
      <c r="H14" s="13" t="s">
        <v>8</v>
      </c>
      <c r="M14" s="6"/>
    </row>
    <row r="15" spans="1:13" ht="30" customHeight="1" x14ac:dyDescent="0.3">
      <c r="A15" s="8" t="s">
        <v>13</v>
      </c>
      <c r="B15" s="2" t="s">
        <v>23</v>
      </c>
      <c r="C15" s="5">
        <v>51.95</v>
      </c>
      <c r="D15" s="2">
        <v>278</v>
      </c>
      <c r="E15" s="2">
        <v>128</v>
      </c>
      <c r="F15" s="2">
        <f t="shared" si="0"/>
        <v>14442.1</v>
      </c>
      <c r="G15" s="2">
        <f t="shared" si="1"/>
        <v>6649.6</v>
      </c>
      <c r="H15" s="13" t="s">
        <v>8</v>
      </c>
      <c r="M15" s="6"/>
    </row>
    <row r="16" spans="1:13" s="1" customFormat="1" ht="30" customHeight="1" x14ac:dyDescent="0.3">
      <c r="A16" s="12" t="s">
        <v>7</v>
      </c>
      <c r="B16" s="14"/>
      <c r="C16" s="15">
        <f>SUM(C6:C15)</f>
        <v>327.76</v>
      </c>
      <c r="D16" s="16"/>
      <c r="E16" s="16"/>
      <c r="F16" s="16">
        <f>SUM(F6:F15)</f>
        <v>91117.28</v>
      </c>
      <c r="G16" s="16">
        <f>SUM(G6:G15)</f>
        <v>41953.279999999999</v>
      </c>
      <c r="H16" s="17"/>
      <c r="M16" s="7"/>
    </row>
    <row r="17" spans="1:13" ht="30" customHeight="1" x14ac:dyDescent="0.3">
      <c r="A17" s="12" t="s">
        <v>6</v>
      </c>
      <c r="B17" s="18">
        <v>91117.28</v>
      </c>
      <c r="C17" s="19"/>
      <c r="D17" s="19"/>
      <c r="E17" s="19"/>
      <c r="F17" s="19"/>
      <c r="G17" s="19"/>
      <c r="H17" s="20"/>
      <c r="M17" s="6"/>
    </row>
    <row r="18" spans="1:13" s="10" customFormat="1" ht="30" customHeight="1" x14ac:dyDescent="0.3">
      <c r="A18" s="12" t="s">
        <v>15</v>
      </c>
      <c r="B18" s="21">
        <v>41953.279999999999</v>
      </c>
      <c r="C18" s="22"/>
      <c r="D18" s="22"/>
      <c r="E18" s="22"/>
      <c r="F18" s="22"/>
      <c r="G18" s="22"/>
      <c r="H18" s="23"/>
      <c r="M18" s="11"/>
    </row>
    <row r="19" spans="1:13" s="1" customFormat="1" ht="30" customHeight="1" x14ac:dyDescent="0.3">
      <c r="B19" s="9"/>
      <c r="C19" s="9"/>
      <c r="D19" s="9"/>
      <c r="E19" s="9"/>
      <c r="F19" s="9"/>
      <c r="G19" s="9"/>
      <c r="H19" s="9"/>
      <c r="M19" s="7"/>
    </row>
    <row r="20" spans="1:13" ht="30" customHeight="1" x14ac:dyDescent="0.3">
      <c r="M20" s="6"/>
    </row>
    <row r="21" spans="1:13" ht="30" customHeight="1" x14ac:dyDescent="0.3">
      <c r="M21" s="6"/>
    </row>
    <row r="22" spans="1:13" ht="30" customHeight="1" x14ac:dyDescent="0.3">
      <c r="M22" s="6"/>
    </row>
    <row r="23" spans="1:13" ht="15.5" x14ac:dyDescent="0.3">
      <c r="M23" s="6"/>
    </row>
  </sheetData>
  <mergeCells count="6">
    <mergeCell ref="B17:H17"/>
    <mergeCell ref="B18:H18"/>
    <mergeCell ref="A1:H1"/>
    <mergeCell ref="A3:H3"/>
    <mergeCell ref="A4:H4"/>
    <mergeCell ref="A2:H2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营 赵</cp:lastModifiedBy>
  <cp:lastPrinted>2023-06-29T06:39:33Z</cp:lastPrinted>
  <dcterms:created xsi:type="dcterms:W3CDTF">2021-04-06T09:34:00Z</dcterms:created>
  <dcterms:modified xsi:type="dcterms:W3CDTF">2025-01-21T07:31:14Z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A78455A2BDDA4ED7A9B76AD25D0D5B5E</vt:lpwstr>
  </property>
  <property fmtid="{D5CDD505-2E9C-101B-9397-08002B2CF9AE}" pid="3" name="KSOProductBuildVer">
    <vt:lpwstr>2052-11.1.0.13703</vt:lpwstr>
  </property>
</Properties>
</file>