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11.软装\"/>
    </mc:Choice>
  </mc:AlternateContent>
  <xr:revisionPtr revIDLastSave="0" documentId="8_{0DF218AF-26F0-491C-B433-36BC4B7671E2}" xr6:coauthVersionLast="47" xr6:coauthVersionMax="47" xr10:uidLastSave="{00000000-0000-0000-0000-000000000000}"/>
  <bookViews>
    <workbookView xWindow="2450" yWindow="2190" windowWidth="19220" windowHeight="11920" xr2:uid="{00000000-000D-0000-FFFF-FFFF00000000}"/>
  </bookViews>
  <sheets>
    <sheet name="全案预算" sheetId="5" r:id="rId1"/>
    <sheet name="未含项目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5" l="1"/>
  <c r="E40" i="5" l="1"/>
  <c r="E32" i="5"/>
  <c r="E41" i="5" l="1"/>
</calcChain>
</file>

<file path=xl/sharedStrings.xml><?xml version="1.0" encoding="utf-8"?>
<sst xmlns="http://schemas.openxmlformats.org/spreadsheetml/2006/main" count="120" uniqueCount="75">
  <si>
    <t>全案目录明细表</t>
  </si>
  <si>
    <t>序号</t>
  </si>
  <si>
    <t>项目名称</t>
  </si>
  <si>
    <t>品牌.产品名称</t>
  </si>
  <si>
    <t>项目地址</t>
  </si>
  <si>
    <t>金额</t>
  </si>
  <si>
    <t>基装明细表</t>
  </si>
  <si>
    <t>基装总计</t>
  </si>
  <si>
    <t>合计</t>
  </si>
  <si>
    <t>主材明细表</t>
  </si>
  <si>
    <t>墙地砖总计</t>
  </si>
  <si>
    <t>智能</t>
  </si>
  <si>
    <t>灯具总计</t>
  </si>
  <si>
    <t>灯马特</t>
  </si>
  <si>
    <t>活动家具总计</t>
  </si>
  <si>
    <t>高级定制(家具及床垫)</t>
  </si>
  <si>
    <t>床垫+床</t>
  </si>
  <si>
    <t>澳洲造梦者</t>
  </si>
  <si>
    <t>电器类</t>
  </si>
  <si>
    <t>总计</t>
  </si>
  <si>
    <t>项目地点：渝北 礼嘉</t>
    <phoneticPr fontId="9" type="noConversion"/>
  </si>
  <si>
    <t>项目名称：昱湖壹号萃峯17-1-1502</t>
    <phoneticPr fontId="9" type="noConversion"/>
  </si>
  <si>
    <t>未含项目</t>
    <phoneticPr fontId="9" type="noConversion"/>
  </si>
  <si>
    <t>其他项目</t>
    <phoneticPr fontId="9" type="noConversion"/>
  </si>
  <si>
    <t>接天然气</t>
    <phoneticPr fontId="9" type="noConversion"/>
  </si>
  <si>
    <t>昱湖壹号</t>
  </si>
  <si>
    <t>电视</t>
    <phoneticPr fontId="9" type="noConversion"/>
  </si>
  <si>
    <t>嵌入冰箱</t>
    <phoneticPr fontId="9" type="noConversion"/>
  </si>
  <si>
    <t>Ascoli</t>
    <phoneticPr fontId="9" type="noConversion"/>
  </si>
  <si>
    <t>晾衣架</t>
    <phoneticPr fontId="9" type="noConversion"/>
  </si>
  <si>
    <t>烟机，灶具，洗碗机，蒸烤一体</t>
    <phoneticPr fontId="9" type="noConversion"/>
  </si>
  <si>
    <t>冰箱，洗衣机，干衣机</t>
    <phoneticPr fontId="9" type="noConversion"/>
  </si>
  <si>
    <t>家具，电器，软装明细表</t>
    <phoneticPr fontId="9" type="noConversion"/>
  </si>
  <si>
    <t>灰泥艺术漆</t>
    <phoneticPr fontId="9" type="noConversion"/>
  </si>
  <si>
    <t>玛曼努</t>
    <phoneticPr fontId="9" type="noConversion"/>
  </si>
  <si>
    <t>空调，地暖，锅炉</t>
    <phoneticPr fontId="9" type="noConversion"/>
  </si>
  <si>
    <t>日立，菲斯曼</t>
    <phoneticPr fontId="9" type="noConversion"/>
  </si>
  <si>
    <t>新风</t>
    <phoneticPr fontId="9" type="noConversion"/>
  </si>
  <si>
    <t>远大</t>
    <phoneticPr fontId="9" type="noConversion"/>
  </si>
  <si>
    <t>暖通,净水</t>
    <phoneticPr fontId="9" type="noConversion"/>
  </si>
  <si>
    <t>门窗</t>
    <phoneticPr fontId="9" type="noConversion"/>
  </si>
  <si>
    <t>生活阳台，客厅阳台，设备阳台</t>
    <phoneticPr fontId="9" type="noConversion"/>
  </si>
  <si>
    <t>百利玛</t>
    <phoneticPr fontId="9" type="noConversion"/>
  </si>
  <si>
    <t>门窗吊装费</t>
    <phoneticPr fontId="9" type="noConversion"/>
  </si>
  <si>
    <t>美缝</t>
    <phoneticPr fontId="9" type="noConversion"/>
  </si>
  <si>
    <t>卫浴，隔断</t>
    <phoneticPr fontId="9" type="noConversion"/>
  </si>
  <si>
    <t>卫浴，隔断，清洁池</t>
    <phoneticPr fontId="9" type="noConversion"/>
  </si>
  <si>
    <t>汉斯格雅</t>
    <phoneticPr fontId="9" type="noConversion"/>
  </si>
  <si>
    <t>地板</t>
    <phoneticPr fontId="9" type="noConversion"/>
  </si>
  <si>
    <t>德合家</t>
    <phoneticPr fontId="9" type="noConversion"/>
  </si>
  <si>
    <t>不锈钢收边+不锈钢踢脚线</t>
    <phoneticPr fontId="9" type="noConversion"/>
  </si>
  <si>
    <t>虫二瓷砖</t>
    <phoneticPr fontId="9" type="noConversion"/>
  </si>
  <si>
    <t>岩板</t>
    <phoneticPr fontId="9" type="noConversion"/>
  </si>
  <si>
    <t>梵品</t>
    <phoneticPr fontId="9" type="noConversion"/>
  </si>
  <si>
    <t>护墙+木制吊顶总计</t>
    <phoneticPr fontId="9" type="noConversion"/>
  </si>
  <si>
    <t>柜子部分</t>
    <phoneticPr fontId="9" type="noConversion"/>
  </si>
  <si>
    <t>门部分</t>
    <phoneticPr fontId="9" type="noConversion"/>
  </si>
  <si>
    <t>欧瑞博</t>
    <phoneticPr fontId="9" type="noConversion"/>
  </si>
  <si>
    <t>佐未</t>
    <phoneticPr fontId="9" type="noConversion"/>
  </si>
  <si>
    <t>插座总计</t>
    <phoneticPr fontId="9" type="noConversion"/>
  </si>
  <si>
    <t>土建</t>
    <phoneticPr fontId="9" type="noConversion"/>
  </si>
  <si>
    <t>基层</t>
    <phoneticPr fontId="9" type="noConversion"/>
  </si>
  <si>
    <t>出渣</t>
    <phoneticPr fontId="9" type="noConversion"/>
  </si>
  <si>
    <t>空开+空调主线</t>
    <phoneticPr fontId="9" type="noConversion"/>
  </si>
  <si>
    <t>厨房台面，岛台，浴室柜台面，门槛石窗台石,部分装饰背板</t>
    <phoneticPr fontId="9" type="noConversion"/>
  </si>
  <si>
    <t>窗帘及孩子房软包总计</t>
    <phoneticPr fontId="9" type="noConversion"/>
  </si>
  <si>
    <t>前置，末端，管线机</t>
    <phoneticPr fontId="9" type="noConversion"/>
  </si>
  <si>
    <t>滨特尔</t>
    <phoneticPr fontId="9" type="noConversion"/>
  </si>
  <si>
    <t>暖风机</t>
    <phoneticPr fontId="9" type="noConversion"/>
  </si>
  <si>
    <t>奥普</t>
    <phoneticPr fontId="9" type="noConversion"/>
  </si>
  <si>
    <t>海信U6K</t>
    <phoneticPr fontId="9" type="noConversion"/>
  </si>
  <si>
    <t>确认下厨房空调 把客厅加大</t>
    <phoneticPr fontId="9" type="noConversion"/>
  </si>
  <si>
    <t>（带WIFI？）</t>
    <phoneticPr fontId="9" type="noConversion"/>
  </si>
  <si>
    <t>再次核对</t>
    <phoneticPr fontId="9" type="noConversion"/>
  </si>
  <si>
    <t>卫生间，景观阳台，减掉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</si>
</sst>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.00_);[Red]\(&quot;￥&quot;#,##0.00\)"/>
  </numFmts>
  <fonts count="10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name val="微软雅黑"/>
      <family val="2"/>
      <charset val="134"/>
    </font>
    <font>
      <b/>
      <sz val="12"/>
      <name val="黑体"/>
      <family val="3"/>
      <charset val="134"/>
    </font>
    <font>
      <sz val="16"/>
      <name val="楷体"/>
      <family val="3"/>
      <charset val="134"/>
    </font>
    <font>
      <sz val="12"/>
      <name val="楷体"/>
      <family val="3"/>
      <charset val="134"/>
    </font>
    <font>
      <sz val="12"/>
      <color rgb="FFFF0000"/>
      <name val="楷体"/>
      <family val="3"/>
      <charset val="134"/>
    </font>
    <font>
      <sz val="12"/>
      <color theme="1"/>
      <name val="楷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6" fillId="3" borderId="4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175A-B628-42A8-B57E-75289B34A442}">
  <dimension ref="A1:J41"/>
  <sheetViews>
    <sheetView tabSelected="1" topLeftCell="A34" zoomScale="75" zoomScaleNormal="75" workbookViewId="0">
      <selection activeCell="E34" sqref="E34"/>
    </sheetView>
  </sheetViews>
  <sheetFormatPr defaultColWidth="9" defaultRowHeight="14" x14ac:dyDescent="0.25"/>
  <cols>
    <col min="1" max="1" width="11.36328125" style="1" customWidth="1"/>
    <col min="2" max="2" width="42" style="1" customWidth="1"/>
    <col min="3" max="3" width="33" style="1" customWidth="1"/>
    <col min="4" max="4" width="33.08984375" style="1" customWidth="1"/>
    <col min="5" max="5" width="21.08984375" style="1" customWidth="1"/>
    <col min="6" max="16384" width="9" style="1"/>
  </cols>
  <sheetData>
    <row r="1" spans="1:10" ht="66" customHeight="1" x14ac:dyDescent="0.25">
      <c r="A1" s="14" t="s">
        <v>0</v>
      </c>
      <c r="B1" s="15"/>
      <c r="C1" s="15"/>
      <c r="D1" s="15"/>
      <c r="E1" s="16"/>
    </row>
    <row r="2" spans="1:10" ht="42.5" customHeight="1" x14ac:dyDescent="0.25">
      <c r="A2" s="17" t="s">
        <v>21</v>
      </c>
      <c r="B2" s="17"/>
      <c r="C2" s="17"/>
      <c r="D2" s="18" t="s">
        <v>20</v>
      </c>
      <c r="E2" s="19"/>
    </row>
    <row r="3" spans="1:10" ht="42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10" ht="42.5" customHeight="1" x14ac:dyDescent="0.25">
      <c r="A4" s="20" t="s">
        <v>6</v>
      </c>
      <c r="B4" s="21"/>
      <c r="C4" s="21"/>
      <c r="D4" s="21"/>
      <c r="E4" s="22"/>
    </row>
    <row r="5" spans="1:10" ht="42.5" customHeight="1" x14ac:dyDescent="0.25">
      <c r="A5" s="5">
        <v>1</v>
      </c>
      <c r="B5" s="6" t="s">
        <v>7</v>
      </c>
      <c r="C5" s="7"/>
      <c r="D5" s="6" t="s">
        <v>25</v>
      </c>
      <c r="E5" s="8">
        <v>182178</v>
      </c>
    </row>
    <row r="6" spans="1:10" ht="42.5" customHeight="1" x14ac:dyDescent="0.25">
      <c r="A6" s="5"/>
      <c r="B6" s="5" t="s">
        <v>8</v>
      </c>
      <c r="C6" s="5"/>
      <c r="D6" s="5"/>
      <c r="E6" s="8">
        <v>182178</v>
      </c>
    </row>
    <row r="7" spans="1:10" ht="42.5" customHeight="1" x14ac:dyDescent="0.25">
      <c r="A7" s="20" t="s">
        <v>60</v>
      </c>
      <c r="B7" s="21"/>
      <c r="C7" s="21"/>
      <c r="D7" s="21"/>
      <c r="E7" s="22"/>
    </row>
    <row r="8" spans="1:10" ht="42.5" customHeight="1" x14ac:dyDescent="0.25">
      <c r="A8" s="5">
        <v>1</v>
      </c>
      <c r="B8" s="5" t="s">
        <v>60</v>
      </c>
      <c r="C8" s="7"/>
      <c r="D8" s="6" t="s">
        <v>25</v>
      </c>
      <c r="E8" s="8">
        <v>27886</v>
      </c>
    </row>
    <row r="9" spans="1:10" ht="42.5" customHeight="1" x14ac:dyDescent="0.25">
      <c r="A9" s="5">
        <v>2</v>
      </c>
      <c r="B9" s="5" t="s">
        <v>61</v>
      </c>
      <c r="C9" s="7"/>
      <c r="D9" s="6" t="s">
        <v>25</v>
      </c>
      <c r="E9" s="8">
        <v>23830</v>
      </c>
    </row>
    <row r="10" spans="1:10" ht="42.5" customHeight="1" x14ac:dyDescent="0.25">
      <c r="A10" s="5"/>
      <c r="B10" s="5" t="s">
        <v>8</v>
      </c>
      <c r="C10" s="5"/>
      <c r="D10" s="5"/>
      <c r="E10" s="8">
        <f>SUM(E8:E9)</f>
        <v>51716</v>
      </c>
    </row>
    <row r="11" spans="1:10" ht="42.5" customHeight="1" x14ac:dyDescent="0.25">
      <c r="A11" s="20" t="s">
        <v>39</v>
      </c>
      <c r="B11" s="21"/>
      <c r="C11" s="21"/>
      <c r="D11" s="21"/>
      <c r="E11" s="22"/>
    </row>
    <row r="12" spans="1:10" ht="42.5" customHeight="1" x14ac:dyDescent="0.25">
      <c r="A12" s="5">
        <v>1</v>
      </c>
      <c r="B12" s="5" t="s">
        <v>35</v>
      </c>
      <c r="C12" s="5" t="s">
        <v>36</v>
      </c>
      <c r="D12" s="6" t="s">
        <v>25</v>
      </c>
      <c r="E12" s="8">
        <v>71000</v>
      </c>
      <c r="F12" s="30" t="s">
        <v>71</v>
      </c>
      <c r="G12" s="30"/>
      <c r="H12" s="30"/>
      <c r="I12" s="30" t="s">
        <v>72</v>
      </c>
      <c r="J12" s="30"/>
    </row>
    <row r="13" spans="1:10" ht="42.5" customHeight="1" x14ac:dyDescent="0.25">
      <c r="A13" s="5">
        <v>2</v>
      </c>
      <c r="B13" s="6" t="s">
        <v>37</v>
      </c>
      <c r="C13" s="7" t="s">
        <v>38</v>
      </c>
      <c r="D13" s="6" t="s">
        <v>25</v>
      </c>
      <c r="E13" s="8">
        <v>15500</v>
      </c>
    </row>
    <row r="14" spans="1:10" ht="42.5" customHeight="1" x14ac:dyDescent="0.25">
      <c r="A14" s="5">
        <v>3</v>
      </c>
      <c r="B14" s="5" t="s">
        <v>67</v>
      </c>
      <c r="C14" s="5" t="s">
        <v>66</v>
      </c>
      <c r="D14" s="6" t="s">
        <v>25</v>
      </c>
      <c r="E14" s="8">
        <v>5888</v>
      </c>
    </row>
    <row r="15" spans="1:10" ht="42.5" customHeight="1" x14ac:dyDescent="0.25">
      <c r="A15" s="20" t="s">
        <v>40</v>
      </c>
      <c r="B15" s="21"/>
      <c r="C15" s="21"/>
      <c r="D15" s="21"/>
      <c r="E15" s="22"/>
    </row>
    <row r="16" spans="1:10" ht="42.5" customHeight="1" x14ac:dyDescent="0.25">
      <c r="A16" s="5">
        <v>1</v>
      </c>
      <c r="B16" s="5" t="s">
        <v>41</v>
      </c>
      <c r="C16" s="5" t="s">
        <v>42</v>
      </c>
      <c r="D16" s="6" t="s">
        <v>25</v>
      </c>
      <c r="E16" s="8">
        <v>33088</v>
      </c>
      <c r="F16" s="30" t="s">
        <v>73</v>
      </c>
    </row>
    <row r="17" spans="1:6" ht="42.5" customHeight="1" x14ac:dyDescent="0.25">
      <c r="A17" s="20" t="s">
        <v>45</v>
      </c>
      <c r="B17" s="21"/>
      <c r="C17" s="21"/>
      <c r="D17" s="21"/>
      <c r="E17" s="22"/>
    </row>
    <row r="18" spans="1:6" ht="42.5" customHeight="1" x14ac:dyDescent="0.25">
      <c r="A18" s="5">
        <v>1</v>
      </c>
      <c r="B18" s="5" t="s">
        <v>46</v>
      </c>
      <c r="C18" s="5" t="s">
        <v>47</v>
      </c>
      <c r="D18" s="6" t="s">
        <v>25</v>
      </c>
      <c r="E18" s="8">
        <v>45550</v>
      </c>
    </row>
    <row r="19" spans="1:6" ht="42.5" customHeight="1" x14ac:dyDescent="0.25">
      <c r="A19" s="20" t="s">
        <v>9</v>
      </c>
      <c r="B19" s="21"/>
      <c r="C19" s="21"/>
      <c r="D19" s="21"/>
      <c r="E19" s="22"/>
    </row>
    <row r="20" spans="1:6" ht="42.5" customHeight="1" x14ac:dyDescent="0.25">
      <c r="A20" s="5">
        <v>1</v>
      </c>
      <c r="B20" s="5" t="s">
        <v>48</v>
      </c>
      <c r="C20" s="5" t="s">
        <v>49</v>
      </c>
      <c r="D20" s="6" t="s">
        <v>25</v>
      </c>
      <c r="E20" s="8">
        <v>30240</v>
      </c>
    </row>
    <row r="21" spans="1:6" ht="42.5" customHeight="1" x14ac:dyDescent="0.25">
      <c r="A21" s="5">
        <v>2</v>
      </c>
      <c r="B21" s="6" t="s">
        <v>10</v>
      </c>
      <c r="C21" s="7" t="s">
        <v>51</v>
      </c>
      <c r="D21" s="6" t="s">
        <v>25</v>
      </c>
      <c r="E21" s="8">
        <v>30800</v>
      </c>
    </row>
    <row r="22" spans="1:6" s="2" customFormat="1" ht="42.5" customHeight="1" x14ac:dyDescent="0.25">
      <c r="A22" s="5">
        <v>3</v>
      </c>
      <c r="B22" s="6" t="s">
        <v>55</v>
      </c>
      <c r="C22" s="7" t="s">
        <v>53</v>
      </c>
      <c r="D22" s="6" t="s">
        <v>25</v>
      </c>
      <c r="E22" s="27">
        <v>203000</v>
      </c>
    </row>
    <row r="23" spans="1:6" s="2" customFormat="1" ht="42.5" customHeight="1" x14ac:dyDescent="0.25">
      <c r="A23" s="5">
        <v>4</v>
      </c>
      <c r="B23" s="6" t="s">
        <v>54</v>
      </c>
      <c r="C23" s="7" t="s">
        <v>53</v>
      </c>
      <c r="D23" s="6" t="s">
        <v>25</v>
      </c>
      <c r="E23" s="28"/>
    </row>
    <row r="24" spans="1:6" ht="42.5" customHeight="1" x14ac:dyDescent="0.25">
      <c r="A24" s="5">
        <v>5</v>
      </c>
      <c r="B24" s="6" t="s">
        <v>56</v>
      </c>
      <c r="C24" s="7" t="s">
        <v>53</v>
      </c>
      <c r="D24" s="6" t="s">
        <v>25</v>
      </c>
      <c r="E24" s="29"/>
    </row>
    <row r="25" spans="1:6" ht="42.5" customHeight="1" x14ac:dyDescent="0.25">
      <c r="A25" s="5">
        <v>6</v>
      </c>
      <c r="B25" s="6" t="s">
        <v>11</v>
      </c>
      <c r="C25" s="7" t="s">
        <v>57</v>
      </c>
      <c r="D25" s="6" t="s">
        <v>25</v>
      </c>
      <c r="E25" s="10">
        <v>20000</v>
      </c>
    </row>
    <row r="26" spans="1:6" ht="42.5" customHeight="1" x14ac:dyDescent="0.25">
      <c r="A26" s="5">
        <v>7</v>
      </c>
      <c r="B26" s="6" t="s">
        <v>12</v>
      </c>
      <c r="C26" s="6" t="s">
        <v>58</v>
      </c>
      <c r="D26" s="6" t="s">
        <v>25</v>
      </c>
      <c r="E26" s="8">
        <v>16000</v>
      </c>
    </row>
    <row r="27" spans="1:6" ht="42.5" customHeight="1" x14ac:dyDescent="0.25">
      <c r="A27" s="5">
        <v>8</v>
      </c>
      <c r="B27" s="6" t="s">
        <v>59</v>
      </c>
      <c r="C27" s="6" t="s">
        <v>13</v>
      </c>
      <c r="D27" s="6" t="s">
        <v>25</v>
      </c>
      <c r="E27" s="8">
        <v>2300</v>
      </c>
    </row>
    <row r="28" spans="1:6" ht="42.5" customHeight="1" x14ac:dyDescent="0.25">
      <c r="A28" s="5">
        <v>8</v>
      </c>
      <c r="B28" s="6" t="s">
        <v>68</v>
      </c>
      <c r="C28" s="6" t="s">
        <v>69</v>
      </c>
      <c r="D28" s="6" t="s">
        <v>25</v>
      </c>
      <c r="E28" s="8">
        <v>3148</v>
      </c>
    </row>
    <row r="29" spans="1:6" s="2" customFormat="1" ht="42.5" customHeight="1" x14ac:dyDescent="0.25">
      <c r="A29" s="5">
        <v>9</v>
      </c>
      <c r="B29" s="6" t="s">
        <v>52</v>
      </c>
      <c r="C29" s="11" t="s">
        <v>64</v>
      </c>
      <c r="D29" s="6" t="s">
        <v>25</v>
      </c>
      <c r="E29" s="12">
        <v>53000</v>
      </c>
    </row>
    <row r="30" spans="1:6" s="2" customFormat="1" ht="42.5" customHeight="1" x14ac:dyDescent="0.25">
      <c r="A30" s="5">
        <v>10</v>
      </c>
      <c r="B30" s="6" t="s">
        <v>65</v>
      </c>
      <c r="C30" s="9"/>
      <c r="D30" s="6" t="s">
        <v>25</v>
      </c>
      <c r="E30" s="12">
        <v>20000</v>
      </c>
    </row>
    <row r="31" spans="1:6" s="30" customFormat="1" ht="42.5" customHeight="1" x14ac:dyDescent="0.25">
      <c r="A31" s="31">
        <v>11</v>
      </c>
      <c r="B31" s="31" t="s">
        <v>33</v>
      </c>
      <c r="C31" s="32" t="s">
        <v>34</v>
      </c>
      <c r="D31" s="33" t="s">
        <v>25</v>
      </c>
      <c r="E31" s="34">
        <v>41953</v>
      </c>
      <c r="F31" s="30" t="s">
        <v>74</v>
      </c>
    </row>
    <row r="32" spans="1:6" ht="42.5" customHeight="1" x14ac:dyDescent="0.25">
      <c r="A32" s="5"/>
      <c r="B32" s="5" t="s">
        <v>8</v>
      </c>
      <c r="C32" s="5"/>
      <c r="D32" s="5"/>
      <c r="E32" s="8">
        <f>SUM(E20:E30)</f>
        <v>378488</v>
      </c>
    </row>
    <row r="33" spans="1:5" ht="42.5" customHeight="1" x14ac:dyDescent="0.25">
      <c r="A33" s="20" t="s">
        <v>32</v>
      </c>
      <c r="B33" s="21"/>
      <c r="C33" s="21"/>
      <c r="D33" s="21"/>
      <c r="E33" s="22"/>
    </row>
    <row r="34" spans="1:5" ht="42.5" customHeight="1" x14ac:dyDescent="0.25">
      <c r="A34" s="5">
        <v>1</v>
      </c>
      <c r="B34" s="5" t="s">
        <v>14</v>
      </c>
      <c r="C34" s="5" t="s">
        <v>15</v>
      </c>
      <c r="D34" s="6" t="s">
        <v>25</v>
      </c>
      <c r="E34" s="10">
        <v>81796</v>
      </c>
    </row>
    <row r="35" spans="1:5" ht="42.5" customHeight="1" x14ac:dyDescent="0.25">
      <c r="A35" s="5">
        <v>2</v>
      </c>
      <c r="B35" s="5" t="s">
        <v>16</v>
      </c>
      <c r="C35" s="5" t="s">
        <v>17</v>
      </c>
      <c r="D35" s="6" t="s">
        <v>25</v>
      </c>
      <c r="E35" s="8">
        <v>22397</v>
      </c>
    </row>
    <row r="36" spans="1:5" ht="42.5" customHeight="1" x14ac:dyDescent="0.25">
      <c r="A36" s="25">
        <v>3</v>
      </c>
      <c r="B36" s="25" t="s">
        <v>18</v>
      </c>
      <c r="C36" s="5" t="s">
        <v>30</v>
      </c>
      <c r="D36" s="6" t="s">
        <v>25</v>
      </c>
      <c r="E36" s="23">
        <v>41124</v>
      </c>
    </row>
    <row r="37" spans="1:5" ht="42.5" customHeight="1" x14ac:dyDescent="0.25">
      <c r="A37" s="26"/>
      <c r="B37" s="26"/>
      <c r="C37" s="5" t="s">
        <v>31</v>
      </c>
      <c r="D37" s="6" t="s">
        <v>25</v>
      </c>
      <c r="E37" s="24"/>
    </row>
    <row r="38" spans="1:5" ht="42.5" customHeight="1" x14ac:dyDescent="0.25">
      <c r="A38" s="5">
        <v>4</v>
      </c>
      <c r="B38" s="5" t="s">
        <v>27</v>
      </c>
      <c r="C38" s="5" t="s">
        <v>28</v>
      </c>
      <c r="D38" s="6" t="s">
        <v>25</v>
      </c>
      <c r="E38" s="8">
        <v>4980</v>
      </c>
    </row>
    <row r="39" spans="1:5" ht="42.5" customHeight="1" x14ac:dyDescent="0.25">
      <c r="A39" s="5">
        <v>5</v>
      </c>
      <c r="B39" s="5" t="s">
        <v>26</v>
      </c>
      <c r="C39" s="5" t="s">
        <v>70</v>
      </c>
      <c r="D39" s="6" t="s">
        <v>25</v>
      </c>
      <c r="E39" s="8">
        <v>9800</v>
      </c>
    </row>
    <row r="40" spans="1:5" ht="42.5" customHeight="1" x14ac:dyDescent="0.25">
      <c r="A40" s="5">
        <v>6</v>
      </c>
      <c r="B40" s="5" t="s">
        <v>8</v>
      </c>
      <c r="C40" s="5"/>
      <c r="D40" s="5"/>
      <c r="E40" s="8">
        <f>SUM(E34:E39)</f>
        <v>160097</v>
      </c>
    </row>
    <row r="41" spans="1:5" ht="42.5" customHeight="1" x14ac:dyDescent="0.25">
      <c r="A41" s="5">
        <v>7</v>
      </c>
      <c r="B41" s="5" t="s">
        <v>19</v>
      </c>
      <c r="C41" s="5"/>
      <c r="D41" s="5"/>
      <c r="E41" s="13">
        <f>SUM(E6+E10+E14+E16+E18+E32+E40)</f>
        <v>857005</v>
      </c>
    </row>
  </sheetData>
  <mergeCells count="14">
    <mergeCell ref="E36:E37"/>
    <mergeCell ref="A11:E11"/>
    <mergeCell ref="B36:B37"/>
    <mergeCell ref="A15:E15"/>
    <mergeCell ref="A17:E17"/>
    <mergeCell ref="A36:A37"/>
    <mergeCell ref="A33:E33"/>
    <mergeCell ref="A19:E19"/>
    <mergeCell ref="E22:E24"/>
    <mergeCell ref="A1:E1"/>
    <mergeCell ref="A2:C2"/>
    <mergeCell ref="D2:E2"/>
    <mergeCell ref="A4:E4"/>
    <mergeCell ref="A7:E7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75" zoomScaleNormal="75" workbookViewId="0">
      <selection activeCell="A9" sqref="A9"/>
    </sheetView>
  </sheetViews>
  <sheetFormatPr defaultColWidth="9" defaultRowHeight="14" x14ac:dyDescent="0.25"/>
  <cols>
    <col min="1" max="1" width="11.36328125" style="1" customWidth="1"/>
    <col min="2" max="2" width="42" style="1" customWidth="1"/>
    <col min="3" max="3" width="33" style="1" customWidth="1"/>
    <col min="4" max="4" width="33.08984375" style="1" customWidth="1"/>
    <col min="5" max="5" width="21.08984375" style="1" customWidth="1"/>
    <col min="6" max="16384" width="9" style="1"/>
  </cols>
  <sheetData>
    <row r="1" spans="1:5" ht="66" customHeight="1" x14ac:dyDescent="0.25">
      <c r="A1" s="14" t="s">
        <v>22</v>
      </c>
      <c r="B1" s="15"/>
      <c r="C1" s="15"/>
      <c r="D1" s="15"/>
      <c r="E1" s="16"/>
    </row>
    <row r="2" spans="1:5" ht="42.5" customHeight="1" x14ac:dyDescent="0.25">
      <c r="A2" s="17" t="s">
        <v>21</v>
      </c>
      <c r="B2" s="17"/>
      <c r="C2" s="17"/>
      <c r="D2" s="18" t="s">
        <v>20</v>
      </c>
      <c r="E2" s="19"/>
    </row>
    <row r="3" spans="1:5" ht="42.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</row>
    <row r="4" spans="1:5" ht="42.5" customHeight="1" x14ac:dyDescent="0.25">
      <c r="A4" s="20" t="s">
        <v>23</v>
      </c>
      <c r="B4" s="21"/>
      <c r="C4" s="21"/>
      <c r="D4" s="21"/>
      <c r="E4" s="22"/>
    </row>
    <row r="5" spans="1:5" ht="42.5" customHeight="1" x14ac:dyDescent="0.25">
      <c r="A5" s="5">
        <v>1</v>
      </c>
      <c r="B5" s="6" t="s">
        <v>24</v>
      </c>
      <c r="C5" s="7"/>
      <c r="D5" s="6" t="s">
        <v>25</v>
      </c>
      <c r="E5" s="8"/>
    </row>
    <row r="6" spans="1:5" ht="42.5" customHeight="1" x14ac:dyDescent="0.25">
      <c r="A6" s="5">
        <v>2</v>
      </c>
      <c r="B6" s="6" t="s">
        <v>29</v>
      </c>
      <c r="C6" s="7"/>
      <c r="D6" s="6" t="s">
        <v>25</v>
      </c>
      <c r="E6" s="8"/>
    </row>
    <row r="7" spans="1:5" ht="42.5" customHeight="1" x14ac:dyDescent="0.25">
      <c r="A7" s="5">
        <v>3</v>
      </c>
      <c r="B7" s="6" t="s">
        <v>43</v>
      </c>
      <c r="C7" s="7"/>
      <c r="D7" s="6" t="s">
        <v>25</v>
      </c>
      <c r="E7" s="8"/>
    </row>
    <row r="8" spans="1:5" ht="42.5" customHeight="1" x14ac:dyDescent="0.25">
      <c r="A8" s="5">
        <v>4</v>
      </c>
      <c r="B8" s="6" t="s">
        <v>44</v>
      </c>
      <c r="C8" s="7"/>
      <c r="D8" s="6" t="s">
        <v>25</v>
      </c>
      <c r="E8" s="8"/>
    </row>
    <row r="9" spans="1:5" ht="42.5" customHeight="1" x14ac:dyDescent="0.25">
      <c r="A9" s="5">
        <v>5</v>
      </c>
      <c r="B9" s="6" t="s">
        <v>50</v>
      </c>
      <c r="C9" s="7"/>
      <c r="D9" s="6" t="s">
        <v>25</v>
      </c>
      <c r="E9" s="8"/>
    </row>
    <row r="10" spans="1:5" ht="42.5" customHeight="1" x14ac:dyDescent="0.25">
      <c r="A10" s="5">
        <v>6</v>
      </c>
      <c r="B10" s="6" t="s">
        <v>62</v>
      </c>
      <c r="C10" s="7"/>
      <c r="D10" s="6" t="s">
        <v>25</v>
      </c>
      <c r="E10" s="8"/>
    </row>
    <row r="11" spans="1:5" ht="42.5" customHeight="1" x14ac:dyDescent="0.25">
      <c r="A11" s="5">
        <v>7</v>
      </c>
      <c r="B11" s="6" t="s">
        <v>63</v>
      </c>
      <c r="C11" s="7"/>
      <c r="D11" s="6" t="s">
        <v>25</v>
      </c>
      <c r="E11" s="8"/>
    </row>
  </sheetData>
  <mergeCells count="4">
    <mergeCell ref="A1:E1"/>
    <mergeCell ref="A2:C2"/>
    <mergeCell ref="D2:E2"/>
    <mergeCell ref="A4:E4"/>
  </mergeCells>
  <phoneticPr fontId="9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全案预算</vt:lpstr>
      <vt:lpstr>未含项目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shenxixi</dc:creator>
  <cp:lastModifiedBy>营 赵</cp:lastModifiedBy>
  <dcterms:created xsi:type="dcterms:W3CDTF">2020-04-08T01:47:00Z</dcterms:created>
  <dcterms:modified xsi:type="dcterms:W3CDTF">2025-02-10T13:42:36Z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95E1DFFD9E654E0381CC68AAF352ADDE</vt:lpwstr>
  </property>
</Properties>
</file>